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OLFIE\Desktop\DA75\"/>
    </mc:Choice>
  </mc:AlternateContent>
  <xr:revisionPtr revIDLastSave="0" documentId="13_ncr:1_{EE5E96B7-E98C-49E6-9A1C-0CE187DFDC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Dataset" sheetId="2" r:id="rId2"/>
    <sheet name="Assignment" sheetId="3" r:id="rId3"/>
    <sheet name="Based on doub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8" i="4" l="1"/>
  <c r="D37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2" i="4"/>
  <c r="K35" i="4"/>
  <c r="J35" i="4"/>
  <c r="I35" i="4"/>
  <c r="H35" i="4"/>
  <c r="K34" i="4"/>
  <c r="J34" i="4"/>
  <c r="I34" i="4"/>
  <c r="H34" i="4"/>
  <c r="K33" i="4"/>
  <c r="J33" i="4"/>
  <c r="I33" i="4"/>
  <c r="H33" i="4"/>
  <c r="K32" i="4"/>
  <c r="J32" i="4"/>
  <c r="I32" i="4"/>
  <c r="H32" i="4"/>
  <c r="K31" i="4"/>
  <c r="J31" i="4"/>
  <c r="I31" i="4"/>
  <c r="H31" i="4"/>
  <c r="K30" i="4"/>
  <c r="J30" i="4"/>
  <c r="I30" i="4"/>
  <c r="H30" i="4"/>
  <c r="K29" i="4"/>
  <c r="J29" i="4"/>
  <c r="I29" i="4"/>
  <c r="H29" i="4"/>
  <c r="K28" i="4"/>
  <c r="J28" i="4"/>
  <c r="I28" i="4"/>
  <c r="H28" i="4"/>
  <c r="K27" i="4"/>
  <c r="J27" i="4"/>
  <c r="I27" i="4"/>
  <c r="H27" i="4"/>
  <c r="K26" i="4"/>
  <c r="J26" i="4"/>
  <c r="I26" i="4"/>
  <c r="H26" i="4"/>
  <c r="K25" i="4"/>
  <c r="J25" i="4"/>
  <c r="I25" i="4"/>
  <c r="H25" i="4"/>
  <c r="K24" i="4"/>
  <c r="J24" i="4"/>
  <c r="I24" i="4"/>
  <c r="H24" i="4"/>
  <c r="K23" i="4"/>
  <c r="J23" i="4"/>
  <c r="I23" i="4"/>
  <c r="H23" i="4"/>
  <c r="K22" i="4"/>
  <c r="J22" i="4"/>
  <c r="I22" i="4"/>
  <c r="H22" i="4"/>
  <c r="K21" i="4"/>
  <c r="J21" i="4"/>
  <c r="I21" i="4"/>
  <c r="H21" i="4"/>
  <c r="K20" i="4"/>
  <c r="J20" i="4"/>
  <c r="I20" i="4"/>
  <c r="H20" i="4"/>
  <c r="K19" i="4"/>
  <c r="J19" i="4"/>
  <c r="I19" i="4"/>
  <c r="H19" i="4"/>
  <c r="K18" i="4"/>
  <c r="J18" i="4"/>
  <c r="I18" i="4"/>
  <c r="H18" i="4"/>
  <c r="K17" i="4"/>
  <c r="J17" i="4"/>
  <c r="I17" i="4"/>
  <c r="H17" i="4"/>
  <c r="K16" i="4"/>
  <c r="J16" i="4"/>
  <c r="I16" i="4"/>
  <c r="H16" i="4"/>
  <c r="K15" i="4"/>
  <c r="J15" i="4"/>
  <c r="I15" i="4"/>
  <c r="H15" i="4"/>
  <c r="K14" i="4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10" i="4"/>
  <c r="J10" i="4"/>
  <c r="I10" i="4"/>
  <c r="H10" i="4"/>
  <c r="K9" i="4"/>
  <c r="J9" i="4"/>
  <c r="I9" i="4"/>
  <c r="H9" i="4"/>
  <c r="K8" i="4"/>
  <c r="J8" i="4"/>
  <c r="I8" i="4"/>
  <c r="H8" i="4"/>
  <c r="K7" i="4"/>
  <c r="J7" i="4"/>
  <c r="I7" i="4"/>
  <c r="H7" i="4"/>
  <c r="K6" i="4"/>
  <c r="J6" i="4"/>
  <c r="I6" i="4"/>
  <c r="H6" i="4"/>
  <c r="K5" i="4"/>
  <c r="J5" i="4"/>
  <c r="I5" i="4"/>
  <c r="H5" i="4"/>
  <c r="K4" i="4"/>
  <c r="J4" i="4"/>
  <c r="I4" i="4"/>
  <c r="H4" i="4"/>
  <c r="K3" i="4"/>
  <c r="J3" i="4"/>
  <c r="I3" i="4"/>
  <c r="H3" i="4"/>
  <c r="K2" i="4"/>
  <c r="J2" i="4"/>
  <c r="I2" i="4"/>
  <c r="H2" i="4"/>
  <c r="C3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F39" i="3"/>
  <c r="F3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C44" i="3"/>
  <c r="C43" i="3"/>
  <c r="C40" i="3"/>
  <c r="C38" i="3"/>
</calcChain>
</file>

<file path=xl/sharedStrings.xml><?xml version="1.0" encoding="utf-8"?>
<sst xmlns="http://schemas.openxmlformats.org/spreadsheetml/2006/main" count="464" uniqueCount="124">
  <si>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</si>
  <si>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</si>
  <si>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</si>
  <si>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</si>
  <si>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</si>
  <si>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</si>
  <si>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</si>
  <si>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</si>
  <si>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</si>
  <si>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</si>
  <si>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</si>
  <si>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</si>
  <si>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</si>
  <si>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</si>
  <si>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</si>
  <si>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</si>
  <si>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</si>
  <si>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</si>
  <si>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</si>
  <si>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</si>
  <si>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</si>
  <si>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</si>
  <si>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</si>
  <si>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</si>
  <si>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</si>
  <si>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</si>
  <si>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</si>
  <si>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</si>
  <si>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</si>
  <si>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</si>
  <si>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</si>
  <si>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</si>
  <si>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</si>
  <si>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</si>
  <si>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</si>
  <si>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</si>
  <si>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</si>
  <si>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</si>
  <si>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</si>
  <si>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</si>
  <si>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</si>
  <si>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</si>
  <si>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</si>
  <si>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</si>
  <si>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</si>
  <si>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</si>
  <si>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</si>
  <si>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</si>
  <si>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</si>
  <si>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</si>
  <si>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</si>
  <si>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</si>
  <si>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</si>
  <si>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</si>
  <si>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</si>
  <si>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</si>
  <si>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</si>
  <si>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</si>
  <si>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</si>
  <si>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</si>
  <si>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</si>
  <si>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</si>
  <si>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</si>
  <si>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</si>
  <si>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</si>
  <si>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</si>
  <si>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</si>
  <si>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</si>
  <si>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</si>
  <si>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</si>
  <si>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</si>
  <si>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</si>
  <si>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</si>
  <si>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</si>
  <si>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</si>
  <si>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</si>
  <si>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</si>
  <si>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</si>
  <si>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</si>
  <si>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</si>
  <si>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</si>
  <si>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</si>
  <si>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</si>
  <si>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</si>
  <si>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</si>
  <si>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</si>
  <si>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</si>
  <si>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</si>
  <si>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</si>
  <si>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</si>
  <si>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</si>
  <si>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</si>
  <si>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</si>
  <si>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</si>
  <si>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</si>
  <si>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</si>
  <si>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</si>
  <si>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</si>
  <si>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</si>
  <si>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</si>
  <si>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</si>
  <si>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</si>
  <si>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</si>
  <si>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</si>
  <si>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</si>
  <si>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</si>
  <si>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</si>
  <si>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</si>
  <si>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</si>
  <si>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</si>
  <si>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• Total price </t>
  </si>
  <si>
    <t>• Number of products in  the data set</t>
  </si>
  <si>
    <t>• The average price of the products in the data set</t>
  </si>
  <si>
    <t>• Minimum price among
 all products</t>
  </si>
  <si>
    <t>• Maximum price among all products</t>
  </si>
  <si>
    <t>Price range</t>
  </si>
  <si>
    <t>• Total price of products in the electronics category</t>
  </si>
  <si>
    <t>• Count of products with a price  less than $100</t>
  </si>
  <si>
    <t>Day</t>
  </si>
  <si>
    <t>Country Code</t>
  </si>
  <si>
    <t>Month</t>
  </si>
  <si>
    <t>Total</t>
  </si>
  <si>
    <t xml:space="preserve">Total price </t>
  </si>
  <si>
    <t>Total quantity 
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</si>
</sst>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4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wrapText="1"/>
    </xf>
    <xf numFmtId="2" fontId="8" fillId="5" borderId="0" xfId="0" applyNumberFormat="1" applyFont="1" applyFill="1" applyBorder="1" applyAlignment="1">
      <alignment horizontal="left"/>
    </xf>
    <xf numFmtId="0" fontId="8" fillId="5" borderId="6" xfId="0" applyFont="1" applyFill="1" applyBorder="1" applyAlignment="1">
      <alignment horizontal="left" wrapText="1"/>
    </xf>
    <xf numFmtId="0" fontId="8" fillId="5" borderId="0" xfId="0" applyFont="1" applyFill="1" applyBorder="1" applyAlignment="1">
      <alignment horizontal="left" wrapText="1"/>
    </xf>
    <xf numFmtId="0" fontId="8" fillId="5" borderId="0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6" workbookViewId="0">
      <selection activeCell="B15" sqref="B1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6" t="s">
        <v>0</v>
      </c>
    </row>
    <row r="2" spans="1:3" ht="15.75" customHeight="1" x14ac:dyDescent="0.2"/>
    <row r="3" spans="1:3" ht="15.75" customHeight="1" x14ac:dyDescent="0.25">
      <c r="B3" s="7" t="s">
        <v>1</v>
      </c>
    </row>
    <row r="4" spans="1:3" ht="15.75" customHeight="1" x14ac:dyDescent="0.25">
      <c r="B4" s="7"/>
      <c r="C4" s="8" t="s">
        <v>2</v>
      </c>
    </row>
    <row r="5" spans="1:3" ht="15.75" customHeight="1" x14ac:dyDescent="0.25">
      <c r="B5" s="7"/>
      <c r="C5" s="8" t="s">
        <v>3</v>
      </c>
    </row>
    <row r="6" spans="1:3" ht="15.75" customHeight="1" x14ac:dyDescent="0.25">
      <c r="B6" s="7"/>
      <c r="C6" s="8" t="s">
        <v>4</v>
      </c>
    </row>
    <row r="7" spans="1:3" ht="15.75" customHeight="1" x14ac:dyDescent="0.25">
      <c r="B7" s="9"/>
    </row>
    <row r="8" spans="1:3" ht="15.75" customHeight="1" x14ac:dyDescent="0.25">
      <c r="B8" s="7" t="s">
        <v>5</v>
      </c>
    </row>
    <row r="9" spans="1:3" ht="15.75" customHeight="1" x14ac:dyDescent="0.25">
      <c r="C9" s="8" t="s">
        <v>6</v>
      </c>
    </row>
    <row r="10" spans="1:3" ht="15.75" customHeight="1" x14ac:dyDescent="0.25">
      <c r="C10" s="8" t="s">
        <v>7</v>
      </c>
    </row>
    <row r="11" spans="1:3" ht="15.75" customHeight="1" x14ac:dyDescent="0.25">
      <c r="B11" s="9"/>
    </row>
    <row r="12" spans="1:3" ht="15.75" customHeight="1" x14ac:dyDescent="0.25">
      <c r="B12" s="7" t="s">
        <v>8</v>
      </c>
    </row>
    <row r="13" spans="1:3" ht="15.75" customHeight="1" x14ac:dyDescent="0.25">
      <c r="C13" s="8" t="s">
        <v>9</v>
      </c>
    </row>
    <row r="14" spans="1:3" ht="15.75" customHeight="1" x14ac:dyDescent="0.25">
      <c r="B14" s="9"/>
    </row>
    <row r="15" spans="1:3" ht="15.75" customHeight="1" x14ac:dyDescent="0.25">
      <c r="B15" s="7" t="s">
        <v>10</v>
      </c>
    </row>
    <row r="16" spans="1:3" ht="15.75" customHeight="1" x14ac:dyDescent="0.25">
      <c r="C16" s="8" t="s">
        <v>11</v>
      </c>
    </row>
    <row r="17" spans="2:3" ht="15.75" customHeight="1" x14ac:dyDescent="0.25">
      <c r="C17" s="8" t="s">
        <v>12</v>
      </c>
    </row>
    <row r="18" spans="2:3" ht="15.75" customHeight="1" x14ac:dyDescent="0.25">
      <c r="B18" s="9"/>
    </row>
    <row r="19" spans="2:3" ht="15.75" customHeight="1" x14ac:dyDescent="0.25">
      <c r="B19" s="7" t="s">
        <v>13</v>
      </c>
    </row>
    <row r="20" spans="2:3" ht="15.75" customHeight="1" x14ac:dyDescent="0.25">
      <c r="C20" s="8" t="s">
        <v>14</v>
      </c>
    </row>
    <row r="21" spans="2:3" ht="15.75" customHeight="1" x14ac:dyDescent="0.25">
      <c r="C21" s="8" t="s">
        <v>15</v>
      </c>
    </row>
    <row r="22" spans="2:3" ht="15.75" customHeight="1" x14ac:dyDescent="0.25">
      <c r="C22" s="8" t="s">
        <v>16</v>
      </c>
    </row>
    <row r="23" spans="2:3" ht="15.75" customHeight="1" x14ac:dyDescent="0.25">
      <c r="B23" s="9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5"/>
  <sheetViews>
    <sheetView workbookViewId="0">
      <selection activeCell="H16" sqref="H16"/>
    </sheetView>
  </sheetViews>
  <sheetFormatPr defaultColWidth="12.5703125"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</cols>
  <sheetData>
    <row r="1" spans="1:7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/>
    </row>
    <row r="2" spans="1:7" x14ac:dyDescent="0.2">
      <c r="A2" s="3" t="s">
        <v>23</v>
      </c>
      <c r="B2" s="3" t="s">
        <v>24</v>
      </c>
      <c r="C2" s="3" t="s">
        <v>25</v>
      </c>
      <c r="D2" s="3">
        <v>1000</v>
      </c>
      <c r="E2" s="3">
        <v>30</v>
      </c>
      <c r="F2" s="3" t="s">
        <v>26</v>
      </c>
      <c r="G2" s="3"/>
    </row>
    <row r="3" spans="1:7" x14ac:dyDescent="0.2">
      <c r="A3" s="4" t="s">
        <v>27</v>
      </c>
      <c r="B3" s="4" t="s">
        <v>28</v>
      </c>
      <c r="C3" s="4" t="s">
        <v>29</v>
      </c>
      <c r="D3" s="4">
        <v>80</v>
      </c>
      <c r="E3" s="4">
        <v>15</v>
      </c>
      <c r="F3" s="4" t="s">
        <v>30</v>
      </c>
      <c r="G3" s="3"/>
    </row>
    <row r="4" spans="1:7" x14ac:dyDescent="0.2">
      <c r="A4" s="3" t="s">
        <v>31</v>
      </c>
      <c r="B4" s="3" t="s">
        <v>32</v>
      </c>
      <c r="C4" s="3" t="s">
        <v>33</v>
      </c>
      <c r="D4" s="3">
        <v>130</v>
      </c>
      <c r="E4" s="3">
        <v>40</v>
      </c>
      <c r="F4" s="3" t="s">
        <v>34</v>
      </c>
      <c r="G4" s="3"/>
    </row>
    <row r="5" spans="1:7" x14ac:dyDescent="0.2">
      <c r="A5" s="4" t="s">
        <v>35</v>
      </c>
      <c r="B5" s="4" t="s">
        <v>36</v>
      </c>
      <c r="C5" s="4" t="s">
        <v>37</v>
      </c>
      <c r="D5" s="4">
        <v>900</v>
      </c>
      <c r="E5" s="4">
        <v>25</v>
      </c>
      <c r="F5" s="4" t="s">
        <v>26</v>
      </c>
      <c r="G5" s="3"/>
    </row>
    <row r="6" spans="1:7" x14ac:dyDescent="0.2">
      <c r="A6" s="3" t="s">
        <v>38</v>
      </c>
      <c r="B6" s="3" t="s">
        <v>39</v>
      </c>
      <c r="C6" s="3" t="s">
        <v>40</v>
      </c>
      <c r="D6" s="3">
        <v>70</v>
      </c>
      <c r="E6" s="3">
        <v>20</v>
      </c>
      <c r="F6" s="3" t="s">
        <v>41</v>
      </c>
      <c r="G6" s="3"/>
    </row>
    <row r="7" spans="1:7" x14ac:dyDescent="0.2">
      <c r="A7" s="4" t="s">
        <v>42</v>
      </c>
      <c r="B7" s="4" t="s">
        <v>43</v>
      </c>
      <c r="C7" s="4" t="s">
        <v>44</v>
      </c>
      <c r="D7" s="4">
        <v>200</v>
      </c>
      <c r="E7" s="4">
        <v>45</v>
      </c>
      <c r="F7" s="4" t="s">
        <v>26</v>
      </c>
      <c r="G7" s="3"/>
    </row>
    <row r="8" spans="1:7" x14ac:dyDescent="0.2">
      <c r="A8" s="3" t="s">
        <v>45</v>
      </c>
      <c r="B8" s="3" t="s">
        <v>46</v>
      </c>
      <c r="C8" s="3" t="s">
        <v>47</v>
      </c>
      <c r="D8" s="3">
        <v>30</v>
      </c>
      <c r="E8" s="3">
        <v>5</v>
      </c>
      <c r="F8" s="3" t="s">
        <v>30</v>
      </c>
      <c r="G8" s="3"/>
    </row>
    <row r="9" spans="1:7" x14ac:dyDescent="0.2">
      <c r="A9" s="4" t="s">
        <v>48</v>
      </c>
      <c r="B9" s="4" t="s">
        <v>49</v>
      </c>
      <c r="C9" s="4" t="s">
        <v>50</v>
      </c>
      <c r="D9" s="4">
        <v>90</v>
      </c>
      <c r="E9" s="4">
        <v>35</v>
      </c>
      <c r="F9" s="4" t="s">
        <v>34</v>
      </c>
      <c r="G9" s="3"/>
    </row>
    <row r="10" spans="1:7" x14ac:dyDescent="0.2">
      <c r="A10" s="3" t="s">
        <v>51</v>
      </c>
      <c r="B10" s="3" t="s">
        <v>52</v>
      </c>
      <c r="C10" s="3" t="s">
        <v>53</v>
      </c>
      <c r="D10" s="3">
        <v>500</v>
      </c>
      <c r="E10" s="3">
        <v>50</v>
      </c>
      <c r="F10" s="3" t="s">
        <v>26</v>
      </c>
      <c r="G10" s="3"/>
    </row>
    <row r="11" spans="1:7" x14ac:dyDescent="0.2">
      <c r="A11" s="4" t="s">
        <v>54</v>
      </c>
      <c r="B11" s="4" t="s">
        <v>55</v>
      </c>
      <c r="C11" s="4" t="s">
        <v>56</v>
      </c>
      <c r="D11" s="4">
        <v>130</v>
      </c>
      <c r="E11" s="4">
        <v>10</v>
      </c>
      <c r="F11" s="4" t="s">
        <v>41</v>
      </c>
      <c r="G11" s="3"/>
    </row>
    <row r="12" spans="1:7" x14ac:dyDescent="0.2">
      <c r="A12" s="3" t="s">
        <v>57</v>
      </c>
      <c r="B12" s="3" t="s">
        <v>24</v>
      </c>
      <c r="C12" s="3" t="s">
        <v>58</v>
      </c>
      <c r="D12" s="3">
        <v>950</v>
      </c>
      <c r="E12" s="3">
        <v>25</v>
      </c>
      <c r="F12" s="3" t="s">
        <v>26</v>
      </c>
      <c r="G12" s="3"/>
    </row>
    <row r="13" spans="1:7" x14ac:dyDescent="0.2">
      <c r="A13" s="4" t="s">
        <v>59</v>
      </c>
      <c r="B13" s="4" t="s">
        <v>28</v>
      </c>
      <c r="C13" s="4" t="s">
        <v>47</v>
      </c>
      <c r="D13" s="4">
        <v>90</v>
      </c>
      <c r="E13" s="4">
        <v>40</v>
      </c>
      <c r="F13" s="4" t="s">
        <v>30</v>
      </c>
      <c r="G13" s="3"/>
    </row>
    <row r="14" spans="1:7" x14ac:dyDescent="0.2">
      <c r="A14" s="3" t="s">
        <v>60</v>
      </c>
      <c r="B14" s="3" t="s">
        <v>32</v>
      </c>
      <c r="C14" s="3" t="s">
        <v>61</v>
      </c>
      <c r="D14" s="3">
        <v>120</v>
      </c>
      <c r="E14" s="3">
        <v>35</v>
      </c>
      <c r="F14" s="3" t="s">
        <v>34</v>
      </c>
      <c r="G14" s="3"/>
    </row>
    <row r="15" spans="1:7" x14ac:dyDescent="0.2">
      <c r="A15" s="4" t="s">
        <v>62</v>
      </c>
      <c r="B15" s="4" t="s">
        <v>63</v>
      </c>
      <c r="C15" s="4" t="s">
        <v>64</v>
      </c>
      <c r="D15" s="4">
        <v>150</v>
      </c>
      <c r="E15" s="4">
        <v>15</v>
      </c>
      <c r="F15" s="4" t="s">
        <v>26</v>
      </c>
      <c r="G15" s="3"/>
    </row>
    <row r="16" spans="1:7" x14ac:dyDescent="0.2">
      <c r="A16" s="3" t="s">
        <v>65</v>
      </c>
      <c r="B16" s="3" t="s">
        <v>43</v>
      </c>
      <c r="C16" s="3" t="s">
        <v>66</v>
      </c>
      <c r="D16" s="3">
        <v>250</v>
      </c>
      <c r="E16" s="3">
        <v>20</v>
      </c>
      <c r="F16" s="3" t="s">
        <v>26</v>
      </c>
      <c r="G16" s="3"/>
    </row>
    <row r="17" spans="1:7" x14ac:dyDescent="0.2">
      <c r="A17" s="4" t="s">
        <v>67</v>
      </c>
      <c r="B17" s="4" t="s">
        <v>68</v>
      </c>
      <c r="C17" s="4" t="s">
        <v>69</v>
      </c>
      <c r="D17" s="4">
        <v>50</v>
      </c>
      <c r="E17" s="4">
        <v>35</v>
      </c>
      <c r="F17" s="4" t="s">
        <v>70</v>
      </c>
      <c r="G17" s="3"/>
    </row>
    <row r="18" spans="1:7" x14ac:dyDescent="0.2">
      <c r="A18" s="3" t="s">
        <v>71</v>
      </c>
      <c r="B18" s="3" t="s">
        <v>63</v>
      </c>
      <c r="C18" s="3" t="s">
        <v>72</v>
      </c>
      <c r="D18" s="3">
        <v>160</v>
      </c>
      <c r="E18" s="3">
        <v>15</v>
      </c>
      <c r="F18" s="3" t="s">
        <v>26</v>
      </c>
      <c r="G18" s="3"/>
    </row>
    <row r="19" spans="1:7" x14ac:dyDescent="0.2">
      <c r="A19" s="4" t="s">
        <v>73</v>
      </c>
      <c r="B19" s="4" t="s">
        <v>24</v>
      </c>
      <c r="C19" s="4" t="s">
        <v>74</v>
      </c>
      <c r="D19" s="4">
        <v>980</v>
      </c>
      <c r="E19" s="4">
        <v>10</v>
      </c>
      <c r="F19" s="4" t="s">
        <v>26</v>
      </c>
      <c r="G19" s="3"/>
    </row>
    <row r="20" spans="1:7" x14ac:dyDescent="0.2">
      <c r="A20" s="3" t="s">
        <v>75</v>
      </c>
      <c r="B20" s="3" t="s">
        <v>76</v>
      </c>
      <c r="C20" s="3" t="s">
        <v>77</v>
      </c>
      <c r="D20" s="3">
        <v>150</v>
      </c>
      <c r="E20" s="3">
        <v>15</v>
      </c>
      <c r="F20" s="3" t="s">
        <v>30</v>
      </c>
      <c r="G20" s="3"/>
    </row>
    <row r="21" spans="1:7" x14ac:dyDescent="0.2">
      <c r="A21" s="4" t="s">
        <v>78</v>
      </c>
      <c r="B21" s="4" t="s">
        <v>79</v>
      </c>
      <c r="C21" s="4" t="s">
        <v>80</v>
      </c>
      <c r="D21" s="4">
        <v>200</v>
      </c>
      <c r="E21" s="4">
        <v>10</v>
      </c>
      <c r="F21" s="4" t="s">
        <v>41</v>
      </c>
      <c r="G21" s="3"/>
    </row>
    <row r="22" spans="1:7" x14ac:dyDescent="0.2">
      <c r="A22" s="3" t="s">
        <v>81</v>
      </c>
      <c r="B22" s="3" t="s">
        <v>82</v>
      </c>
      <c r="C22" s="3" t="s">
        <v>83</v>
      </c>
      <c r="D22" s="3">
        <v>700</v>
      </c>
      <c r="E22" s="3">
        <v>50</v>
      </c>
      <c r="F22" s="3" t="s">
        <v>26</v>
      </c>
      <c r="G22" s="3"/>
    </row>
    <row r="23" spans="1:7" x14ac:dyDescent="0.2">
      <c r="A23" s="4" t="s">
        <v>84</v>
      </c>
      <c r="B23" s="4" t="s">
        <v>85</v>
      </c>
      <c r="C23" s="4" t="s">
        <v>86</v>
      </c>
      <c r="D23" s="4">
        <v>80</v>
      </c>
      <c r="E23" s="4">
        <v>20</v>
      </c>
      <c r="F23" s="4" t="s">
        <v>34</v>
      </c>
      <c r="G23" s="3"/>
    </row>
    <row r="24" spans="1:7" x14ac:dyDescent="0.2">
      <c r="A24" s="3" t="s">
        <v>87</v>
      </c>
      <c r="B24" s="3" t="s">
        <v>88</v>
      </c>
      <c r="C24" s="3" t="s">
        <v>89</v>
      </c>
      <c r="D24" s="3">
        <v>150</v>
      </c>
      <c r="E24" s="3">
        <v>30</v>
      </c>
      <c r="F24" s="3" t="s">
        <v>26</v>
      </c>
      <c r="G24" s="3"/>
    </row>
    <row r="25" spans="1:7" x14ac:dyDescent="0.2">
      <c r="A25" s="4" t="s">
        <v>67</v>
      </c>
      <c r="B25" s="4" t="s">
        <v>68</v>
      </c>
      <c r="C25" s="4" t="s">
        <v>69</v>
      </c>
      <c r="D25" s="4">
        <v>50</v>
      </c>
      <c r="E25" s="4">
        <v>35</v>
      </c>
      <c r="F25" s="4" t="s">
        <v>70</v>
      </c>
      <c r="G25" s="5"/>
    </row>
    <row r="26" spans="1:7" x14ac:dyDescent="0.2">
      <c r="A26" s="3" t="s">
        <v>90</v>
      </c>
      <c r="B26" s="3" t="s">
        <v>36</v>
      </c>
      <c r="C26" s="3" t="s">
        <v>91</v>
      </c>
      <c r="D26" s="3">
        <v>800</v>
      </c>
      <c r="E26" s="3">
        <v>45</v>
      </c>
      <c r="F26" s="3" t="s">
        <v>26</v>
      </c>
      <c r="G26" s="3"/>
    </row>
    <row r="27" spans="1:7" x14ac:dyDescent="0.2">
      <c r="A27" s="4" t="s">
        <v>92</v>
      </c>
      <c r="B27" s="4" t="s">
        <v>76</v>
      </c>
      <c r="C27" s="4" t="s">
        <v>93</v>
      </c>
      <c r="D27" s="4">
        <v>130</v>
      </c>
      <c r="E27" s="4">
        <v>25</v>
      </c>
      <c r="F27" s="4" t="s">
        <v>30</v>
      </c>
      <c r="G27" s="3"/>
    </row>
    <row r="28" spans="1:7" x14ac:dyDescent="0.2">
      <c r="A28" s="3" t="s">
        <v>94</v>
      </c>
      <c r="B28" s="3" t="s">
        <v>49</v>
      </c>
      <c r="C28" s="3" t="s">
        <v>95</v>
      </c>
      <c r="D28" s="3">
        <v>400</v>
      </c>
      <c r="E28" s="3">
        <v>40</v>
      </c>
      <c r="F28" s="3" t="s">
        <v>34</v>
      </c>
      <c r="G28" s="3"/>
    </row>
    <row r="29" spans="1:7" x14ac:dyDescent="0.2">
      <c r="A29" s="4" t="s">
        <v>65</v>
      </c>
      <c r="B29" s="4" t="s">
        <v>43</v>
      </c>
      <c r="C29" s="4" t="s">
        <v>66</v>
      </c>
      <c r="D29" s="4">
        <v>230</v>
      </c>
      <c r="E29" s="4">
        <v>20</v>
      </c>
      <c r="F29" s="4" t="s">
        <v>26</v>
      </c>
      <c r="G29" s="5"/>
    </row>
    <row r="30" spans="1:7" x14ac:dyDescent="0.2">
      <c r="A30" s="3" t="s">
        <v>96</v>
      </c>
      <c r="B30" s="3" t="s">
        <v>97</v>
      </c>
      <c r="C30" s="3" t="s">
        <v>98</v>
      </c>
      <c r="D30" s="3">
        <v>60</v>
      </c>
      <c r="E30" s="3">
        <v>30</v>
      </c>
      <c r="F30" s="3" t="s">
        <v>30</v>
      </c>
      <c r="G30" s="3"/>
    </row>
    <row r="31" spans="1:7" x14ac:dyDescent="0.2">
      <c r="A31" s="4" t="s">
        <v>99</v>
      </c>
      <c r="B31" s="4" t="s">
        <v>100</v>
      </c>
      <c r="C31" s="4" t="s">
        <v>101</v>
      </c>
      <c r="D31" s="4">
        <v>40</v>
      </c>
      <c r="E31" s="4">
        <v>10</v>
      </c>
      <c r="F31" s="4" t="s">
        <v>34</v>
      </c>
      <c r="G31" s="3"/>
    </row>
    <row r="32" spans="1:7" x14ac:dyDescent="0.2">
      <c r="A32" s="3" t="s">
        <v>102</v>
      </c>
      <c r="B32" s="3" t="s">
        <v>88</v>
      </c>
      <c r="C32" s="3" t="s">
        <v>103</v>
      </c>
      <c r="D32" s="3">
        <v>130</v>
      </c>
      <c r="E32" s="3">
        <v>5</v>
      </c>
      <c r="F32" s="3" t="s">
        <v>26</v>
      </c>
      <c r="G32" s="3"/>
    </row>
    <row r="33" spans="1:7" x14ac:dyDescent="0.2">
      <c r="A33" s="4" t="s">
        <v>104</v>
      </c>
      <c r="B33" s="4" t="s">
        <v>105</v>
      </c>
      <c r="C33" s="4" t="s">
        <v>106</v>
      </c>
      <c r="D33" s="4">
        <v>50</v>
      </c>
      <c r="E33" s="4">
        <v>50</v>
      </c>
      <c r="F33" s="4" t="s">
        <v>30</v>
      </c>
      <c r="G33" s="3"/>
    </row>
    <row r="34" spans="1:7" x14ac:dyDescent="0.2">
      <c r="A34" s="3" t="s">
        <v>57</v>
      </c>
      <c r="B34" s="3" t="s">
        <v>24</v>
      </c>
      <c r="C34" s="3" t="s">
        <v>58</v>
      </c>
      <c r="D34" s="3">
        <v>950</v>
      </c>
      <c r="E34" s="3">
        <v>25</v>
      </c>
      <c r="F34" s="3" t="s">
        <v>26</v>
      </c>
      <c r="G34" s="3"/>
    </row>
    <row r="35" spans="1:7" x14ac:dyDescent="0.2">
      <c r="A35" s="4" t="s">
        <v>107</v>
      </c>
      <c r="B35" s="4" t="s">
        <v>108</v>
      </c>
      <c r="C35" s="4" t="s">
        <v>109</v>
      </c>
      <c r="D35" s="4">
        <v>100</v>
      </c>
      <c r="E35" s="4">
        <v>20</v>
      </c>
      <c r="F35" s="4" t="s">
        <v>70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51E0-8B46-487B-AFD1-061C762B3036}">
  <dimension ref="A1:J44"/>
  <sheetViews>
    <sheetView tabSelected="1" zoomScale="80" zoomScaleNormal="80" workbookViewId="0">
      <selection sqref="A1:J35"/>
    </sheetView>
  </sheetViews>
  <sheetFormatPr defaultRowHeight="12.75" x14ac:dyDescent="0.2"/>
  <cols>
    <col min="1" max="1" width="11.7109375" customWidth="1"/>
    <col min="2" max="2" width="38.140625" bestFit="1" customWidth="1"/>
    <col min="3" max="3" width="13" bestFit="1" customWidth="1"/>
    <col min="4" max="4" width="9.28515625" bestFit="1" customWidth="1"/>
    <col min="5" max="5" width="27.85546875" bestFit="1" customWidth="1"/>
    <col min="6" max="6" width="12.28515625" bestFit="1" customWidth="1"/>
    <col min="7" max="7" width="13.85546875" bestFit="1" customWidth="1"/>
    <col min="8" max="8" width="4.5703125" bestFit="1" customWidth="1"/>
    <col min="9" max="9" width="15" bestFit="1" customWidth="1"/>
    <col min="10" max="10" width="7.42578125" bestFit="1" customWidth="1"/>
  </cols>
  <sheetData>
    <row r="1" spans="1:10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115</v>
      </c>
      <c r="H1" s="1" t="s">
        <v>118</v>
      </c>
      <c r="I1" s="1" t="s">
        <v>119</v>
      </c>
      <c r="J1" s="1" t="s">
        <v>120</v>
      </c>
    </row>
    <row r="2" spans="1:10" x14ac:dyDescent="0.2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 t="s">
        <v>26</v>
      </c>
      <c r="G2" s="10" t="str">
        <f>IF(D2&gt;=500,"High price","Standard price")</f>
        <v>High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</row>
    <row r="3" spans="1:10" x14ac:dyDescent="0.2">
      <c r="A3" s="11" t="s">
        <v>27</v>
      </c>
      <c r="B3" s="11" t="s">
        <v>28</v>
      </c>
      <c r="C3" s="11" t="s">
        <v>29</v>
      </c>
      <c r="D3" s="11">
        <v>80</v>
      </c>
      <c r="E3" s="11">
        <v>15</v>
      </c>
      <c r="F3" s="11" t="s">
        <v>30</v>
      </c>
      <c r="G3" s="11" t="str">
        <f t="shared" ref="G3:G35" si="0">IF(D3&gt;=500,"High price","Standard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</row>
    <row r="4" spans="1:10" x14ac:dyDescent="0.2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 t="s">
        <v>34</v>
      </c>
      <c r="G4" s="10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</row>
    <row r="5" spans="1:10" x14ac:dyDescent="0.2">
      <c r="A5" s="11" t="s">
        <v>35</v>
      </c>
      <c r="B5" s="11" t="s">
        <v>36</v>
      </c>
      <c r="C5" s="11" t="s">
        <v>37</v>
      </c>
      <c r="D5" s="11">
        <v>900</v>
      </c>
      <c r="E5" s="11">
        <v>25</v>
      </c>
      <c r="F5" s="11" t="s">
        <v>26</v>
      </c>
      <c r="G5" s="11" t="str">
        <f t="shared" si="0"/>
        <v>High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</row>
    <row r="6" spans="1:10" x14ac:dyDescent="0.2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 t="s">
        <v>41</v>
      </c>
      <c r="G6" s="10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</row>
    <row r="7" spans="1:10" x14ac:dyDescent="0.2">
      <c r="A7" s="11" t="s">
        <v>42</v>
      </c>
      <c r="B7" s="11" t="s">
        <v>43</v>
      </c>
      <c r="C7" s="11" t="s">
        <v>44</v>
      </c>
      <c r="D7" s="11">
        <v>200</v>
      </c>
      <c r="E7" s="11">
        <v>45</v>
      </c>
      <c r="F7" s="11" t="s">
        <v>26</v>
      </c>
      <c r="G7" s="11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</row>
    <row r="8" spans="1:10" x14ac:dyDescent="0.2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 t="s">
        <v>30</v>
      </c>
      <c r="G8" s="10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</row>
    <row r="9" spans="1:10" x14ac:dyDescent="0.2">
      <c r="A9" s="11" t="s">
        <v>48</v>
      </c>
      <c r="B9" s="11" t="s">
        <v>49</v>
      </c>
      <c r="C9" s="11" t="s">
        <v>50</v>
      </c>
      <c r="D9" s="11">
        <v>90</v>
      </c>
      <c r="E9" s="11">
        <v>35</v>
      </c>
      <c r="F9" s="11" t="s">
        <v>34</v>
      </c>
      <c r="G9" s="11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</row>
    <row r="10" spans="1:10" x14ac:dyDescent="0.2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 t="s">
        <v>26</v>
      </c>
      <c r="G10" s="10" t="str">
        <f t="shared" si="0"/>
        <v>High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</row>
    <row r="11" spans="1:10" x14ac:dyDescent="0.2">
      <c r="A11" s="11" t="s">
        <v>54</v>
      </c>
      <c r="B11" s="11" t="s">
        <v>55</v>
      </c>
      <c r="C11" s="11" t="s">
        <v>56</v>
      </c>
      <c r="D11" s="11">
        <v>130</v>
      </c>
      <c r="E11" s="11">
        <v>10</v>
      </c>
      <c r="F11" s="11" t="s">
        <v>41</v>
      </c>
      <c r="G11" s="11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</row>
    <row r="12" spans="1:10" x14ac:dyDescent="0.2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 t="s">
        <v>26</v>
      </c>
      <c r="G12" s="10" t="str">
        <f t="shared" si="0"/>
        <v>High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</row>
    <row r="13" spans="1:10" x14ac:dyDescent="0.2">
      <c r="A13" s="11" t="s">
        <v>59</v>
      </c>
      <c r="B13" s="11" t="s">
        <v>28</v>
      </c>
      <c r="C13" s="11" t="s">
        <v>47</v>
      </c>
      <c r="D13" s="11">
        <v>90</v>
      </c>
      <c r="E13" s="11">
        <v>40</v>
      </c>
      <c r="F13" s="11" t="s">
        <v>30</v>
      </c>
      <c r="G13" s="11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</row>
    <row r="14" spans="1:10" x14ac:dyDescent="0.2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 t="s">
        <v>34</v>
      </c>
      <c r="G14" s="10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</row>
    <row r="15" spans="1:10" x14ac:dyDescent="0.2">
      <c r="A15" s="11" t="s">
        <v>62</v>
      </c>
      <c r="B15" s="11" t="s">
        <v>63</v>
      </c>
      <c r="C15" s="11" t="s">
        <v>64</v>
      </c>
      <c r="D15" s="11">
        <v>150</v>
      </c>
      <c r="E15" s="11">
        <v>15</v>
      </c>
      <c r="F15" s="11" t="s">
        <v>26</v>
      </c>
      <c r="G15" s="11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</row>
    <row r="16" spans="1:10" x14ac:dyDescent="0.2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 t="s">
        <v>26</v>
      </c>
      <c r="G16" s="10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</row>
    <row r="17" spans="1:10" x14ac:dyDescent="0.2">
      <c r="A17" s="11" t="s">
        <v>67</v>
      </c>
      <c r="B17" s="11" t="s">
        <v>68</v>
      </c>
      <c r="C17" s="11" t="s">
        <v>69</v>
      </c>
      <c r="D17" s="11">
        <v>50</v>
      </c>
      <c r="E17" s="11">
        <v>35</v>
      </c>
      <c r="F17" s="11" t="s">
        <v>70</v>
      </c>
      <c r="G17" s="11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</row>
    <row r="18" spans="1:10" x14ac:dyDescent="0.2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 t="s">
        <v>26</v>
      </c>
      <c r="G18" s="10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</row>
    <row r="19" spans="1:10" x14ac:dyDescent="0.2">
      <c r="A19" s="11" t="s">
        <v>73</v>
      </c>
      <c r="B19" s="11" t="s">
        <v>24</v>
      </c>
      <c r="C19" s="11" t="s">
        <v>74</v>
      </c>
      <c r="D19" s="11">
        <v>980</v>
      </c>
      <c r="E19" s="11">
        <v>10</v>
      </c>
      <c r="F19" s="11" t="s">
        <v>26</v>
      </c>
      <c r="G19" s="11" t="str">
        <f t="shared" si="0"/>
        <v>High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</row>
    <row r="20" spans="1:10" x14ac:dyDescent="0.2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 t="s">
        <v>30</v>
      </c>
      <c r="G20" s="10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</row>
    <row r="21" spans="1:10" x14ac:dyDescent="0.2">
      <c r="A21" s="11" t="s">
        <v>78</v>
      </c>
      <c r="B21" s="11" t="s">
        <v>79</v>
      </c>
      <c r="C21" s="11" t="s">
        <v>80</v>
      </c>
      <c r="D21" s="11">
        <v>200</v>
      </c>
      <c r="E21" s="11">
        <v>10</v>
      </c>
      <c r="F21" s="11" t="s">
        <v>41</v>
      </c>
      <c r="G21" s="11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</row>
    <row r="22" spans="1:10" x14ac:dyDescent="0.2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 t="s">
        <v>26</v>
      </c>
      <c r="G22" s="10" t="str">
        <f t="shared" si="0"/>
        <v>High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</row>
    <row r="23" spans="1:10" x14ac:dyDescent="0.2">
      <c r="A23" s="11" t="s">
        <v>84</v>
      </c>
      <c r="B23" s="11" t="s">
        <v>85</v>
      </c>
      <c r="C23" s="11" t="s">
        <v>86</v>
      </c>
      <c r="D23" s="11">
        <v>80</v>
      </c>
      <c r="E23" s="11">
        <v>20</v>
      </c>
      <c r="F23" s="11" t="s">
        <v>34</v>
      </c>
      <c r="G23" s="11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</row>
    <row r="24" spans="1:10" x14ac:dyDescent="0.2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 t="s">
        <v>26</v>
      </c>
      <c r="G24" s="10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</row>
    <row r="25" spans="1:10" x14ac:dyDescent="0.2">
      <c r="A25" s="11" t="s">
        <v>67</v>
      </c>
      <c r="B25" s="11" t="s">
        <v>68</v>
      </c>
      <c r="C25" s="11" t="s">
        <v>69</v>
      </c>
      <c r="D25" s="11">
        <v>50</v>
      </c>
      <c r="E25" s="11">
        <v>35</v>
      </c>
      <c r="F25" s="11" t="s">
        <v>70</v>
      </c>
      <c r="G25" s="11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</row>
    <row r="26" spans="1:10" x14ac:dyDescent="0.2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 t="s">
        <v>26</v>
      </c>
      <c r="G26" s="10" t="str">
        <f t="shared" si="0"/>
        <v>High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</row>
    <row r="27" spans="1:10" x14ac:dyDescent="0.2">
      <c r="A27" s="11" t="s">
        <v>92</v>
      </c>
      <c r="B27" s="11" t="s">
        <v>76</v>
      </c>
      <c r="C27" s="11" t="s">
        <v>93</v>
      </c>
      <c r="D27" s="11">
        <v>130</v>
      </c>
      <c r="E27" s="11">
        <v>25</v>
      </c>
      <c r="F27" s="11" t="s">
        <v>30</v>
      </c>
      <c r="G27" s="11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</row>
    <row r="28" spans="1:10" x14ac:dyDescent="0.2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 t="s">
        <v>34</v>
      </c>
      <c r="G28" s="10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</row>
    <row r="29" spans="1:10" x14ac:dyDescent="0.2">
      <c r="A29" s="11" t="s">
        <v>65</v>
      </c>
      <c r="B29" s="11" t="s">
        <v>43</v>
      </c>
      <c r="C29" s="11" t="s">
        <v>66</v>
      </c>
      <c r="D29" s="11">
        <v>230</v>
      </c>
      <c r="E29" s="11">
        <v>20</v>
      </c>
      <c r="F29" s="11" t="s">
        <v>26</v>
      </c>
      <c r="G29" s="11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</row>
    <row r="30" spans="1:10" x14ac:dyDescent="0.2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 t="s">
        <v>30</v>
      </c>
      <c r="G30" s="10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</row>
    <row r="31" spans="1:10" x14ac:dyDescent="0.2">
      <c r="A31" s="11" t="s">
        <v>99</v>
      </c>
      <c r="B31" s="11" t="s">
        <v>100</v>
      </c>
      <c r="C31" s="11" t="s">
        <v>101</v>
      </c>
      <c r="D31" s="11">
        <v>40</v>
      </c>
      <c r="E31" s="11">
        <v>10</v>
      </c>
      <c r="F31" s="11" t="s">
        <v>34</v>
      </c>
      <c r="G31" s="11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</row>
    <row r="32" spans="1:10" x14ac:dyDescent="0.2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 t="s">
        <v>26</v>
      </c>
      <c r="G32" s="10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</row>
    <row r="33" spans="1:10" x14ac:dyDescent="0.2">
      <c r="A33" s="11" t="s">
        <v>104</v>
      </c>
      <c r="B33" s="11" t="s">
        <v>105</v>
      </c>
      <c r="C33" s="11" t="s">
        <v>106</v>
      </c>
      <c r="D33" s="11">
        <v>50</v>
      </c>
      <c r="E33" s="11">
        <v>50</v>
      </c>
      <c r="F33" s="11" t="s">
        <v>30</v>
      </c>
      <c r="G33" s="11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</row>
    <row r="34" spans="1:10" x14ac:dyDescent="0.2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 t="s">
        <v>26</v>
      </c>
      <c r="G34" s="10" t="str">
        <f t="shared" si="0"/>
        <v>High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</row>
    <row r="35" spans="1:10" x14ac:dyDescent="0.2">
      <c r="A35" s="11" t="s">
        <v>107</v>
      </c>
      <c r="B35" s="11" t="s">
        <v>108</v>
      </c>
      <c r="C35" s="11" t="s">
        <v>109</v>
      </c>
      <c r="D35" s="11">
        <v>100</v>
      </c>
      <c r="E35" s="11">
        <v>20</v>
      </c>
      <c r="F35" s="11" t="s">
        <v>70</v>
      </c>
      <c r="G35" s="11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</row>
    <row r="37" spans="1:10" ht="18" x14ac:dyDescent="0.25">
      <c r="B37" s="12" t="s">
        <v>1</v>
      </c>
      <c r="C37" s="13"/>
      <c r="D37" s="13"/>
      <c r="E37" s="14" t="s">
        <v>10</v>
      </c>
      <c r="F37" s="15"/>
    </row>
    <row r="38" spans="1:10" ht="25.5" x14ac:dyDescent="0.2">
      <c r="B38" s="22" t="s">
        <v>110</v>
      </c>
      <c r="C38" s="16">
        <f>SUM(D2:D35)</f>
        <v>10100</v>
      </c>
      <c r="D38" s="16"/>
      <c r="E38" s="27" t="s">
        <v>116</v>
      </c>
      <c r="F38" s="17">
        <f>SUMIF(F2:F35,"Electronics",D2:D35)</f>
        <v>8050</v>
      </c>
    </row>
    <row r="39" spans="1:10" ht="25.5" x14ac:dyDescent="0.2">
      <c r="B39" s="23" t="s">
        <v>111</v>
      </c>
      <c r="C39" s="16">
        <f>COUNTA(B2:B35)</f>
        <v>34</v>
      </c>
      <c r="D39" s="16"/>
      <c r="E39" s="28" t="s">
        <v>117</v>
      </c>
      <c r="F39" s="17">
        <f>COUNTIF(D2:D35,"&lt;100")</f>
        <v>11</v>
      </c>
    </row>
    <row r="40" spans="1:10" ht="25.5" x14ac:dyDescent="0.2">
      <c r="B40" s="24" t="s">
        <v>112</v>
      </c>
      <c r="C40" s="25">
        <f>AVERAGE(D2:D35)</f>
        <v>297.05882352941177</v>
      </c>
      <c r="D40" s="16"/>
      <c r="E40" s="16"/>
      <c r="F40" s="17"/>
    </row>
    <row r="41" spans="1:10" x14ac:dyDescent="0.2">
      <c r="B41" s="18"/>
      <c r="C41" s="16"/>
      <c r="D41" s="16"/>
      <c r="E41" s="16"/>
      <c r="F41" s="17"/>
    </row>
    <row r="42" spans="1:10" ht="19.5" customHeight="1" x14ac:dyDescent="0.25">
      <c r="B42" s="19" t="s">
        <v>5</v>
      </c>
      <c r="C42" s="16"/>
      <c r="D42" s="16"/>
      <c r="E42" s="16"/>
      <c r="F42" s="17"/>
    </row>
    <row r="43" spans="1:10" ht="22.5" customHeight="1" x14ac:dyDescent="0.2">
      <c r="B43" s="23" t="s">
        <v>113</v>
      </c>
      <c r="C43" s="16">
        <f>MIN(D2:D35)</f>
        <v>30</v>
      </c>
      <c r="D43" s="16"/>
      <c r="E43" s="16"/>
      <c r="F43" s="17"/>
    </row>
    <row r="44" spans="1:10" x14ac:dyDescent="0.2">
      <c r="B44" s="26" t="s">
        <v>114</v>
      </c>
      <c r="C44" s="20">
        <f>MAX(D2:D35)</f>
        <v>1000</v>
      </c>
      <c r="D44" s="20"/>
      <c r="E44" s="20"/>
      <c r="F44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24A9-9CB5-487A-B8EE-8001BA2CA448}">
  <dimension ref="A1:K38"/>
  <sheetViews>
    <sheetView workbookViewId="0">
      <selection activeCell="C39" sqref="C39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8.5703125" customWidth="1"/>
    <col min="7" max="7" width="11.28515625" bestFit="1" customWidth="1"/>
    <col min="8" max="8" width="13.140625" bestFit="1" customWidth="1"/>
    <col min="9" max="9" width="4.42578125" bestFit="1" customWidth="1"/>
    <col min="10" max="10" width="13.42578125" bestFit="1" customWidth="1"/>
    <col min="11" max="11" width="6.5703125" bestFit="1" customWidth="1"/>
  </cols>
  <sheetData>
    <row r="1" spans="1:11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121</v>
      </c>
      <c r="G1" s="1" t="s">
        <v>22</v>
      </c>
      <c r="H1" s="1" t="s">
        <v>115</v>
      </c>
      <c r="I1" s="1" t="s">
        <v>118</v>
      </c>
      <c r="J1" s="1" t="s">
        <v>119</v>
      </c>
      <c r="K1" s="1" t="s">
        <v>120</v>
      </c>
    </row>
    <row r="2" spans="1:11" x14ac:dyDescent="0.2">
      <c r="A2" s="10" t="s">
        <v>23</v>
      </c>
      <c r="B2" s="10" t="s">
        <v>24</v>
      </c>
      <c r="C2" s="10" t="s">
        <v>25</v>
      </c>
      <c r="D2" s="10">
        <v>1000</v>
      </c>
      <c r="E2" s="10">
        <v>30</v>
      </c>
      <c r="F2" s="10">
        <f>D2*E2</f>
        <v>30000</v>
      </c>
      <c r="G2" s="10" t="s">
        <v>26</v>
      </c>
      <c r="H2" s="10" t="str">
        <f>IF(D2&gt;=500,"High price","Standard price")</f>
        <v>High price</v>
      </c>
      <c r="I2" s="10" t="str">
        <f>LEFT(A2,2)</f>
        <v>28</v>
      </c>
      <c r="J2" s="10" t="str">
        <f>RIGHT(A2,2)</f>
        <v>US</v>
      </c>
      <c r="K2" s="10" t="str">
        <f>MID(A2,4,3)</f>
        <v>JAN</v>
      </c>
    </row>
    <row r="3" spans="1:11" x14ac:dyDescent="0.2">
      <c r="A3" s="11" t="s">
        <v>27</v>
      </c>
      <c r="B3" s="11" t="s">
        <v>28</v>
      </c>
      <c r="C3" s="11" t="s">
        <v>29</v>
      </c>
      <c r="D3" s="11">
        <v>80</v>
      </c>
      <c r="E3" s="11">
        <v>15</v>
      </c>
      <c r="F3" s="11">
        <f t="shared" ref="F3:F35" si="0">D3*E3</f>
        <v>1200</v>
      </c>
      <c r="G3" s="11" t="s">
        <v>30</v>
      </c>
      <c r="H3" s="11" t="str">
        <f t="shared" ref="H3:H35" si="1">IF(D3&gt;=500,"High price","Standard price")</f>
        <v>Standard price</v>
      </c>
      <c r="I3" s="11" t="str">
        <f t="shared" ref="I3:I35" si="2">LEFT(A3,2)</f>
        <v>15</v>
      </c>
      <c r="J3" s="11" t="str">
        <f t="shared" ref="J3:J35" si="3">RIGHT(A3,2)</f>
        <v>US</v>
      </c>
      <c r="K3" s="11" t="str">
        <f t="shared" ref="K3:K35" si="4">MID(A3,4,3)</f>
        <v>FEB</v>
      </c>
    </row>
    <row r="4" spans="1:11" x14ac:dyDescent="0.2">
      <c r="A4" s="10" t="s">
        <v>31</v>
      </c>
      <c r="B4" s="10" t="s">
        <v>32</v>
      </c>
      <c r="C4" s="10" t="s">
        <v>33</v>
      </c>
      <c r="D4" s="10">
        <v>130</v>
      </c>
      <c r="E4" s="10">
        <v>40</v>
      </c>
      <c r="F4" s="10">
        <f t="shared" si="0"/>
        <v>5200</v>
      </c>
      <c r="G4" s="10" t="s">
        <v>34</v>
      </c>
      <c r="H4" s="10" t="str">
        <f t="shared" si="1"/>
        <v>Standard price</v>
      </c>
      <c r="I4" s="10" t="str">
        <f t="shared" si="2"/>
        <v>03</v>
      </c>
      <c r="J4" s="10" t="str">
        <f t="shared" si="3"/>
        <v>US</v>
      </c>
      <c r="K4" s="10" t="str">
        <f t="shared" si="4"/>
        <v>MAR</v>
      </c>
    </row>
    <row r="5" spans="1:11" x14ac:dyDescent="0.2">
      <c r="A5" s="11" t="s">
        <v>35</v>
      </c>
      <c r="B5" s="11" t="s">
        <v>36</v>
      </c>
      <c r="C5" s="11" t="s">
        <v>37</v>
      </c>
      <c r="D5" s="11">
        <v>900</v>
      </c>
      <c r="E5" s="11">
        <v>25</v>
      </c>
      <c r="F5" s="11">
        <f t="shared" si="0"/>
        <v>22500</v>
      </c>
      <c r="G5" s="11" t="s">
        <v>26</v>
      </c>
      <c r="H5" s="11" t="str">
        <f t="shared" si="1"/>
        <v>High price</v>
      </c>
      <c r="I5" s="11" t="str">
        <f t="shared" si="2"/>
        <v>11</v>
      </c>
      <c r="J5" s="11" t="str">
        <f t="shared" si="3"/>
        <v>US</v>
      </c>
      <c r="K5" s="11" t="str">
        <f t="shared" si="4"/>
        <v>APR</v>
      </c>
    </row>
    <row r="6" spans="1:11" x14ac:dyDescent="0.2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0">
        <f t="shared" si="0"/>
        <v>1400</v>
      </c>
      <c r="G6" s="10" t="s">
        <v>41</v>
      </c>
      <c r="H6" s="10" t="str">
        <f t="shared" si="1"/>
        <v>Standard price</v>
      </c>
      <c r="I6" s="10" t="str">
        <f t="shared" si="2"/>
        <v>22</v>
      </c>
      <c r="J6" s="10" t="str">
        <f t="shared" si="3"/>
        <v>US</v>
      </c>
      <c r="K6" s="10" t="str">
        <f t="shared" si="4"/>
        <v>MAY</v>
      </c>
    </row>
    <row r="7" spans="1:11" x14ac:dyDescent="0.2">
      <c r="A7" s="11" t="s">
        <v>42</v>
      </c>
      <c r="B7" s="11" t="s">
        <v>43</v>
      </c>
      <c r="C7" s="11" t="s">
        <v>44</v>
      </c>
      <c r="D7" s="11">
        <v>200</v>
      </c>
      <c r="E7" s="11">
        <v>45</v>
      </c>
      <c r="F7" s="11">
        <f t="shared" si="0"/>
        <v>9000</v>
      </c>
      <c r="G7" s="11" t="s">
        <v>26</v>
      </c>
      <c r="H7" s="11" t="str">
        <f t="shared" si="1"/>
        <v>Standard price</v>
      </c>
      <c r="I7" s="11" t="str">
        <f t="shared" si="2"/>
        <v>07</v>
      </c>
      <c r="J7" s="11" t="str">
        <f t="shared" si="3"/>
        <v>UK</v>
      </c>
      <c r="K7" s="11" t="str">
        <f t="shared" si="4"/>
        <v>JUN</v>
      </c>
    </row>
    <row r="8" spans="1:11" x14ac:dyDescent="0.2">
      <c r="A8" s="10" t="s">
        <v>45</v>
      </c>
      <c r="B8" s="10" t="s">
        <v>46</v>
      </c>
      <c r="C8" s="10" t="s">
        <v>47</v>
      </c>
      <c r="D8" s="10">
        <v>30</v>
      </c>
      <c r="E8" s="10">
        <v>5</v>
      </c>
      <c r="F8" s="10">
        <f t="shared" si="0"/>
        <v>150</v>
      </c>
      <c r="G8" s="10" t="s">
        <v>30</v>
      </c>
      <c r="H8" s="10" t="str">
        <f t="shared" si="1"/>
        <v>Standard price</v>
      </c>
      <c r="I8" s="10" t="str">
        <f t="shared" si="2"/>
        <v>19</v>
      </c>
      <c r="J8" s="10" t="str">
        <f t="shared" si="3"/>
        <v>UK</v>
      </c>
      <c r="K8" s="10" t="str">
        <f t="shared" si="4"/>
        <v>JUL</v>
      </c>
    </row>
    <row r="9" spans="1:11" x14ac:dyDescent="0.2">
      <c r="A9" s="11" t="s">
        <v>48</v>
      </c>
      <c r="B9" s="11" t="s">
        <v>49</v>
      </c>
      <c r="C9" s="11" t="s">
        <v>50</v>
      </c>
      <c r="D9" s="11">
        <v>90</v>
      </c>
      <c r="E9" s="11">
        <v>35</v>
      </c>
      <c r="F9" s="11">
        <f t="shared" si="0"/>
        <v>3150</v>
      </c>
      <c r="G9" s="11" t="s">
        <v>34</v>
      </c>
      <c r="H9" s="11" t="str">
        <f t="shared" si="1"/>
        <v>Standard price</v>
      </c>
      <c r="I9" s="11" t="str">
        <f t="shared" si="2"/>
        <v>23</v>
      </c>
      <c r="J9" s="11" t="str">
        <f t="shared" si="3"/>
        <v>UK</v>
      </c>
      <c r="K9" s="11" t="str">
        <f t="shared" si="4"/>
        <v>AUG</v>
      </c>
    </row>
    <row r="10" spans="1:11" x14ac:dyDescent="0.2">
      <c r="A10" s="10" t="s">
        <v>51</v>
      </c>
      <c r="B10" s="10" t="s">
        <v>52</v>
      </c>
      <c r="C10" s="10" t="s">
        <v>53</v>
      </c>
      <c r="D10" s="10">
        <v>500</v>
      </c>
      <c r="E10" s="10">
        <v>50</v>
      </c>
      <c r="F10" s="10">
        <f t="shared" si="0"/>
        <v>25000</v>
      </c>
      <c r="G10" s="10" t="s">
        <v>26</v>
      </c>
      <c r="H10" s="10" t="str">
        <f t="shared" si="1"/>
        <v>High price</v>
      </c>
      <c r="I10" s="10" t="str">
        <f t="shared" si="2"/>
        <v>05</v>
      </c>
      <c r="J10" s="10" t="str">
        <f t="shared" si="3"/>
        <v>UK</v>
      </c>
      <c r="K10" s="10" t="str">
        <f t="shared" si="4"/>
        <v>SEP</v>
      </c>
    </row>
    <row r="11" spans="1:11" x14ac:dyDescent="0.2">
      <c r="A11" s="11" t="s">
        <v>54</v>
      </c>
      <c r="B11" s="11" t="s">
        <v>55</v>
      </c>
      <c r="C11" s="11" t="s">
        <v>56</v>
      </c>
      <c r="D11" s="11">
        <v>130</v>
      </c>
      <c r="E11" s="11">
        <v>10</v>
      </c>
      <c r="F11" s="11">
        <f t="shared" si="0"/>
        <v>1300</v>
      </c>
      <c r="G11" s="11" t="s">
        <v>41</v>
      </c>
      <c r="H11" s="11" t="str">
        <f t="shared" si="1"/>
        <v>Standard price</v>
      </c>
      <c r="I11" s="11" t="str">
        <f t="shared" si="2"/>
        <v>14</v>
      </c>
      <c r="J11" s="11" t="str">
        <f t="shared" si="3"/>
        <v>UK</v>
      </c>
      <c r="K11" s="11" t="str">
        <f t="shared" si="4"/>
        <v>OCT</v>
      </c>
    </row>
    <row r="12" spans="1:11" x14ac:dyDescent="0.2">
      <c r="A12" s="10" t="s">
        <v>57</v>
      </c>
      <c r="B12" s="10" t="s">
        <v>24</v>
      </c>
      <c r="C12" s="10" t="s">
        <v>58</v>
      </c>
      <c r="D12" s="10">
        <v>950</v>
      </c>
      <c r="E12" s="10">
        <v>25</v>
      </c>
      <c r="F12" s="10">
        <f t="shared" si="0"/>
        <v>23750</v>
      </c>
      <c r="G12" s="10" t="s">
        <v>26</v>
      </c>
      <c r="H12" s="10" t="str">
        <f t="shared" si="1"/>
        <v>High price</v>
      </c>
      <c r="I12" s="10" t="str">
        <f t="shared" si="2"/>
        <v>17</v>
      </c>
      <c r="J12" s="10" t="str">
        <f t="shared" si="3"/>
        <v>IN</v>
      </c>
      <c r="K12" s="10" t="str">
        <f t="shared" si="4"/>
        <v>JUN</v>
      </c>
    </row>
    <row r="13" spans="1:11" x14ac:dyDescent="0.2">
      <c r="A13" s="11" t="s">
        <v>59</v>
      </c>
      <c r="B13" s="11" t="s">
        <v>28</v>
      </c>
      <c r="C13" s="11" t="s">
        <v>47</v>
      </c>
      <c r="D13" s="11">
        <v>90</v>
      </c>
      <c r="E13" s="11">
        <v>40</v>
      </c>
      <c r="F13" s="11">
        <f t="shared" si="0"/>
        <v>3600</v>
      </c>
      <c r="G13" s="11" t="s">
        <v>30</v>
      </c>
      <c r="H13" s="11" t="str">
        <f t="shared" si="1"/>
        <v>Standard price</v>
      </c>
      <c r="I13" s="11" t="str">
        <f t="shared" si="2"/>
        <v>25</v>
      </c>
      <c r="J13" s="11" t="str">
        <f t="shared" si="3"/>
        <v>AU</v>
      </c>
      <c r="K13" s="11" t="str">
        <f t="shared" si="4"/>
        <v>NOV</v>
      </c>
    </row>
    <row r="14" spans="1:11" x14ac:dyDescent="0.2">
      <c r="A14" s="10" t="s">
        <v>60</v>
      </c>
      <c r="B14" s="10" t="s">
        <v>32</v>
      </c>
      <c r="C14" s="10" t="s">
        <v>61</v>
      </c>
      <c r="D14" s="10">
        <v>120</v>
      </c>
      <c r="E14" s="10">
        <v>35</v>
      </c>
      <c r="F14" s="10">
        <f t="shared" si="0"/>
        <v>4200</v>
      </c>
      <c r="G14" s="10" t="s">
        <v>34</v>
      </c>
      <c r="H14" s="10" t="str">
        <f t="shared" si="1"/>
        <v>Standard price</v>
      </c>
      <c r="I14" s="10" t="str">
        <f t="shared" si="2"/>
        <v>08</v>
      </c>
      <c r="J14" s="10" t="str">
        <f t="shared" si="3"/>
        <v>DE</v>
      </c>
      <c r="K14" s="10" t="str">
        <f t="shared" si="4"/>
        <v>DEC</v>
      </c>
    </row>
    <row r="15" spans="1:11" x14ac:dyDescent="0.2">
      <c r="A15" s="11" t="s">
        <v>62</v>
      </c>
      <c r="B15" s="11" t="s">
        <v>63</v>
      </c>
      <c r="C15" s="11" t="s">
        <v>64</v>
      </c>
      <c r="D15" s="11">
        <v>150</v>
      </c>
      <c r="E15" s="11">
        <v>15</v>
      </c>
      <c r="F15" s="11">
        <f t="shared" si="0"/>
        <v>2250</v>
      </c>
      <c r="G15" s="11" t="s">
        <v>26</v>
      </c>
      <c r="H15" s="11" t="str">
        <f t="shared" si="1"/>
        <v>Standard price</v>
      </c>
      <c r="I15" s="11" t="str">
        <f t="shared" si="2"/>
        <v>18</v>
      </c>
      <c r="J15" s="11" t="str">
        <f t="shared" si="3"/>
        <v>CA</v>
      </c>
      <c r="K15" s="11" t="str">
        <f t="shared" si="4"/>
        <v>FEB</v>
      </c>
    </row>
    <row r="16" spans="1:11" x14ac:dyDescent="0.2">
      <c r="A16" s="10" t="s">
        <v>65</v>
      </c>
      <c r="B16" s="10" t="s">
        <v>43</v>
      </c>
      <c r="C16" s="10" t="s">
        <v>66</v>
      </c>
      <c r="D16" s="10">
        <v>250</v>
      </c>
      <c r="E16" s="10">
        <v>20</v>
      </c>
      <c r="F16" s="10">
        <f t="shared" si="0"/>
        <v>5000</v>
      </c>
      <c r="G16" s="10" t="s">
        <v>26</v>
      </c>
      <c r="H16" s="10" t="str">
        <f t="shared" si="1"/>
        <v>Standard price</v>
      </c>
      <c r="I16" s="10" t="str">
        <f t="shared" si="2"/>
        <v>16</v>
      </c>
      <c r="J16" s="10" t="str">
        <f t="shared" si="3"/>
        <v>ES</v>
      </c>
      <c r="K16" s="10" t="str">
        <f t="shared" si="4"/>
        <v>APR</v>
      </c>
    </row>
    <row r="17" spans="1:11" x14ac:dyDescent="0.2">
      <c r="A17" s="11" t="s">
        <v>67</v>
      </c>
      <c r="B17" s="11" t="s">
        <v>68</v>
      </c>
      <c r="C17" s="11" t="s">
        <v>69</v>
      </c>
      <c r="D17" s="11">
        <v>50</v>
      </c>
      <c r="E17" s="11">
        <v>35</v>
      </c>
      <c r="F17" s="11">
        <f t="shared" si="0"/>
        <v>1750</v>
      </c>
      <c r="G17" s="11" t="s">
        <v>70</v>
      </c>
      <c r="H17" s="11" t="str">
        <f t="shared" si="1"/>
        <v>Standard price</v>
      </c>
      <c r="I17" s="11" t="str">
        <f t="shared" si="2"/>
        <v>21</v>
      </c>
      <c r="J17" s="11" t="str">
        <f t="shared" si="3"/>
        <v>CA</v>
      </c>
      <c r="K17" s="11" t="str">
        <f t="shared" si="4"/>
        <v>AUG</v>
      </c>
    </row>
    <row r="18" spans="1:11" x14ac:dyDescent="0.2">
      <c r="A18" s="10" t="s">
        <v>71</v>
      </c>
      <c r="B18" s="10" t="s">
        <v>63</v>
      </c>
      <c r="C18" s="10" t="s">
        <v>72</v>
      </c>
      <c r="D18" s="10">
        <v>160</v>
      </c>
      <c r="E18" s="10">
        <v>15</v>
      </c>
      <c r="F18" s="10">
        <f t="shared" si="0"/>
        <v>2400</v>
      </c>
      <c r="G18" s="10" t="s">
        <v>26</v>
      </c>
      <c r="H18" s="10" t="str">
        <f t="shared" si="1"/>
        <v>Standard price</v>
      </c>
      <c r="I18" s="10" t="str">
        <f t="shared" si="2"/>
        <v>20</v>
      </c>
      <c r="J18" s="10" t="str">
        <f t="shared" si="3"/>
        <v>CN</v>
      </c>
      <c r="K18" s="10" t="str">
        <f t="shared" si="4"/>
        <v>AUG</v>
      </c>
    </row>
    <row r="19" spans="1:11" x14ac:dyDescent="0.2">
      <c r="A19" s="11" t="s">
        <v>73</v>
      </c>
      <c r="B19" s="11" t="s">
        <v>24</v>
      </c>
      <c r="C19" s="11" t="s">
        <v>74</v>
      </c>
      <c r="D19" s="11">
        <v>980</v>
      </c>
      <c r="E19" s="11">
        <v>10</v>
      </c>
      <c r="F19" s="11">
        <f t="shared" si="0"/>
        <v>9800</v>
      </c>
      <c r="G19" s="11" t="s">
        <v>26</v>
      </c>
      <c r="H19" s="11" t="str">
        <f t="shared" si="1"/>
        <v>High price</v>
      </c>
      <c r="I19" s="11" t="str">
        <f t="shared" si="2"/>
        <v>27</v>
      </c>
      <c r="J19" s="11" t="str">
        <f t="shared" si="3"/>
        <v>IT</v>
      </c>
      <c r="K19" s="11" t="str">
        <f t="shared" si="4"/>
        <v>JAN</v>
      </c>
    </row>
    <row r="20" spans="1:11" x14ac:dyDescent="0.2">
      <c r="A20" s="10" t="s">
        <v>75</v>
      </c>
      <c r="B20" s="10" t="s">
        <v>76</v>
      </c>
      <c r="C20" s="10" t="s">
        <v>77</v>
      </c>
      <c r="D20" s="10">
        <v>150</v>
      </c>
      <c r="E20" s="10">
        <v>15</v>
      </c>
      <c r="F20" s="10">
        <f t="shared" si="0"/>
        <v>2250</v>
      </c>
      <c r="G20" s="10" t="s">
        <v>30</v>
      </c>
      <c r="H20" s="10" t="str">
        <f t="shared" si="1"/>
        <v>Standard price</v>
      </c>
      <c r="I20" s="10" t="str">
        <f t="shared" si="2"/>
        <v>01</v>
      </c>
      <c r="J20" s="10" t="str">
        <f t="shared" si="3"/>
        <v>UK</v>
      </c>
      <c r="K20" s="10" t="str">
        <f t="shared" si="4"/>
        <v>MAR</v>
      </c>
    </row>
    <row r="21" spans="1:11" x14ac:dyDescent="0.2">
      <c r="A21" s="11" t="s">
        <v>78</v>
      </c>
      <c r="B21" s="11" t="s">
        <v>79</v>
      </c>
      <c r="C21" s="11" t="s">
        <v>80</v>
      </c>
      <c r="D21" s="11">
        <v>200</v>
      </c>
      <c r="E21" s="11">
        <v>10</v>
      </c>
      <c r="F21" s="11">
        <f t="shared" si="0"/>
        <v>2000</v>
      </c>
      <c r="G21" s="11" t="s">
        <v>41</v>
      </c>
      <c r="H21" s="11" t="str">
        <f t="shared" si="1"/>
        <v>Standard price</v>
      </c>
      <c r="I21" s="11" t="str">
        <f t="shared" si="2"/>
        <v>14</v>
      </c>
      <c r="J21" s="11" t="str">
        <f t="shared" si="3"/>
        <v>US</v>
      </c>
      <c r="K21" s="11" t="str">
        <f t="shared" si="4"/>
        <v>AUG</v>
      </c>
    </row>
    <row r="22" spans="1:11" x14ac:dyDescent="0.2">
      <c r="A22" s="10" t="s">
        <v>81</v>
      </c>
      <c r="B22" s="10" t="s">
        <v>82</v>
      </c>
      <c r="C22" s="10" t="s">
        <v>83</v>
      </c>
      <c r="D22" s="10">
        <v>700</v>
      </c>
      <c r="E22" s="10">
        <v>50</v>
      </c>
      <c r="F22" s="10">
        <f t="shared" si="0"/>
        <v>35000</v>
      </c>
      <c r="G22" s="10" t="s">
        <v>26</v>
      </c>
      <c r="H22" s="10" t="str">
        <f t="shared" si="1"/>
        <v>High price</v>
      </c>
      <c r="I22" s="10" t="str">
        <f t="shared" si="2"/>
        <v>14</v>
      </c>
      <c r="J22" s="10" t="str">
        <f t="shared" si="3"/>
        <v>RU</v>
      </c>
      <c r="K22" s="10" t="str">
        <f t="shared" si="4"/>
        <v>MAY</v>
      </c>
    </row>
    <row r="23" spans="1:11" x14ac:dyDescent="0.2">
      <c r="A23" s="11" t="s">
        <v>84</v>
      </c>
      <c r="B23" s="11" t="s">
        <v>85</v>
      </c>
      <c r="C23" s="11" t="s">
        <v>86</v>
      </c>
      <c r="D23" s="11">
        <v>80</v>
      </c>
      <c r="E23" s="11">
        <v>20</v>
      </c>
      <c r="F23" s="11">
        <f t="shared" si="0"/>
        <v>1600</v>
      </c>
      <c r="G23" s="11" t="s">
        <v>34</v>
      </c>
      <c r="H23" s="11" t="str">
        <f t="shared" si="1"/>
        <v>Standard price</v>
      </c>
      <c r="I23" s="11" t="str">
        <f t="shared" si="2"/>
        <v>09</v>
      </c>
      <c r="J23" s="11" t="str">
        <f t="shared" si="3"/>
        <v>CA</v>
      </c>
      <c r="K23" s="11" t="str">
        <f t="shared" si="4"/>
        <v>JAN</v>
      </c>
    </row>
    <row r="24" spans="1:11" x14ac:dyDescent="0.2">
      <c r="A24" s="10" t="s">
        <v>87</v>
      </c>
      <c r="B24" s="10" t="s">
        <v>88</v>
      </c>
      <c r="C24" s="10" t="s">
        <v>89</v>
      </c>
      <c r="D24" s="10">
        <v>150</v>
      </c>
      <c r="E24" s="10">
        <v>30</v>
      </c>
      <c r="F24" s="10">
        <f t="shared" si="0"/>
        <v>4500</v>
      </c>
      <c r="G24" s="10" t="s">
        <v>26</v>
      </c>
      <c r="H24" s="10" t="str">
        <f t="shared" si="1"/>
        <v>Standard price</v>
      </c>
      <c r="I24" s="10" t="str">
        <f t="shared" si="2"/>
        <v>19</v>
      </c>
      <c r="J24" s="10" t="str">
        <f t="shared" si="3"/>
        <v>BR</v>
      </c>
      <c r="K24" s="10" t="str">
        <f t="shared" si="4"/>
        <v>JUL</v>
      </c>
    </row>
    <row r="25" spans="1:11" x14ac:dyDescent="0.2">
      <c r="A25" s="11" t="s">
        <v>67</v>
      </c>
      <c r="B25" s="11" t="s">
        <v>68</v>
      </c>
      <c r="C25" s="11" t="s">
        <v>69</v>
      </c>
      <c r="D25" s="11">
        <v>50</v>
      </c>
      <c r="E25" s="11">
        <v>35</v>
      </c>
      <c r="F25" s="11">
        <f t="shared" si="0"/>
        <v>1750</v>
      </c>
      <c r="G25" s="11" t="s">
        <v>70</v>
      </c>
      <c r="H25" s="11" t="str">
        <f t="shared" si="1"/>
        <v>Standard price</v>
      </c>
      <c r="I25" s="11" t="str">
        <f t="shared" si="2"/>
        <v>21</v>
      </c>
      <c r="J25" s="11" t="str">
        <f t="shared" si="3"/>
        <v>CA</v>
      </c>
      <c r="K25" s="11" t="str">
        <f t="shared" si="4"/>
        <v>AUG</v>
      </c>
    </row>
    <row r="26" spans="1:11" x14ac:dyDescent="0.2">
      <c r="A26" s="10" t="s">
        <v>90</v>
      </c>
      <c r="B26" s="10" t="s">
        <v>36</v>
      </c>
      <c r="C26" s="10" t="s">
        <v>91</v>
      </c>
      <c r="D26" s="10">
        <v>800</v>
      </c>
      <c r="E26" s="10">
        <v>45</v>
      </c>
      <c r="F26" s="10">
        <f t="shared" si="0"/>
        <v>36000</v>
      </c>
      <c r="G26" s="10" t="s">
        <v>26</v>
      </c>
      <c r="H26" s="10" t="str">
        <f t="shared" si="1"/>
        <v>High price</v>
      </c>
      <c r="I26" s="10" t="str">
        <f t="shared" si="2"/>
        <v>29</v>
      </c>
      <c r="J26" s="10" t="str">
        <f t="shared" si="3"/>
        <v>CA</v>
      </c>
      <c r="K26" s="10" t="str">
        <f t="shared" si="4"/>
        <v>SEP</v>
      </c>
    </row>
    <row r="27" spans="1:11" x14ac:dyDescent="0.2">
      <c r="A27" s="11" t="s">
        <v>92</v>
      </c>
      <c r="B27" s="11" t="s">
        <v>76</v>
      </c>
      <c r="C27" s="11" t="s">
        <v>93</v>
      </c>
      <c r="D27" s="11">
        <v>130</v>
      </c>
      <c r="E27" s="11">
        <v>25</v>
      </c>
      <c r="F27" s="11">
        <f t="shared" si="0"/>
        <v>3250</v>
      </c>
      <c r="G27" s="11" t="s">
        <v>30</v>
      </c>
      <c r="H27" s="11" t="str">
        <f t="shared" si="1"/>
        <v>Standard price</v>
      </c>
      <c r="I27" s="11" t="str">
        <f t="shared" si="2"/>
        <v>03</v>
      </c>
      <c r="J27" s="11" t="str">
        <f t="shared" si="3"/>
        <v>CA</v>
      </c>
      <c r="K27" s="11" t="str">
        <f t="shared" si="4"/>
        <v>JUN</v>
      </c>
    </row>
    <row r="28" spans="1:11" x14ac:dyDescent="0.2">
      <c r="A28" s="10" t="s">
        <v>94</v>
      </c>
      <c r="B28" s="10" t="s">
        <v>49</v>
      </c>
      <c r="C28" s="10" t="s">
        <v>95</v>
      </c>
      <c r="D28" s="10">
        <v>400</v>
      </c>
      <c r="E28" s="10">
        <v>40</v>
      </c>
      <c r="F28" s="10">
        <f t="shared" si="0"/>
        <v>16000</v>
      </c>
      <c r="G28" s="10" t="s">
        <v>34</v>
      </c>
      <c r="H28" s="10" t="str">
        <f t="shared" si="1"/>
        <v>Standard price</v>
      </c>
      <c r="I28" s="10" t="str">
        <f t="shared" si="2"/>
        <v>11</v>
      </c>
      <c r="J28" s="10" t="str">
        <f t="shared" si="3"/>
        <v>CA</v>
      </c>
      <c r="K28" s="10" t="str">
        <f t="shared" si="4"/>
        <v>JUL</v>
      </c>
    </row>
    <row r="29" spans="1:11" x14ac:dyDescent="0.2">
      <c r="A29" s="11" t="s">
        <v>65</v>
      </c>
      <c r="B29" s="11" t="s">
        <v>43</v>
      </c>
      <c r="C29" s="11" t="s">
        <v>66</v>
      </c>
      <c r="D29" s="11">
        <v>230</v>
      </c>
      <c r="E29" s="11">
        <v>20</v>
      </c>
      <c r="F29" s="11">
        <f t="shared" si="0"/>
        <v>4600</v>
      </c>
      <c r="G29" s="11" t="s">
        <v>26</v>
      </c>
      <c r="H29" s="11" t="str">
        <f t="shared" si="1"/>
        <v>Standard price</v>
      </c>
      <c r="I29" s="11" t="str">
        <f t="shared" si="2"/>
        <v>16</v>
      </c>
      <c r="J29" s="11" t="str">
        <f t="shared" si="3"/>
        <v>ES</v>
      </c>
      <c r="K29" s="11" t="str">
        <f t="shared" si="4"/>
        <v>APR</v>
      </c>
    </row>
    <row r="30" spans="1:11" x14ac:dyDescent="0.2">
      <c r="A30" s="10" t="s">
        <v>96</v>
      </c>
      <c r="B30" s="10" t="s">
        <v>97</v>
      </c>
      <c r="C30" s="10" t="s">
        <v>98</v>
      </c>
      <c r="D30" s="10">
        <v>60</v>
      </c>
      <c r="E30" s="10">
        <v>30</v>
      </c>
      <c r="F30" s="10">
        <f t="shared" si="0"/>
        <v>1800</v>
      </c>
      <c r="G30" s="10" t="s">
        <v>30</v>
      </c>
      <c r="H30" s="10" t="str">
        <f t="shared" si="1"/>
        <v>Standard price</v>
      </c>
      <c r="I30" s="10" t="str">
        <f t="shared" si="2"/>
        <v>07</v>
      </c>
      <c r="J30" s="10" t="str">
        <f t="shared" si="3"/>
        <v>CA</v>
      </c>
      <c r="K30" s="10" t="str">
        <f t="shared" si="4"/>
        <v>MAR</v>
      </c>
    </row>
    <row r="31" spans="1:11" x14ac:dyDescent="0.2">
      <c r="A31" s="11" t="s">
        <v>99</v>
      </c>
      <c r="B31" s="11" t="s">
        <v>100</v>
      </c>
      <c r="C31" s="11" t="s">
        <v>101</v>
      </c>
      <c r="D31" s="11">
        <v>40</v>
      </c>
      <c r="E31" s="11">
        <v>10</v>
      </c>
      <c r="F31" s="11">
        <f t="shared" si="0"/>
        <v>400</v>
      </c>
      <c r="G31" s="11" t="s">
        <v>34</v>
      </c>
      <c r="H31" s="11" t="str">
        <f t="shared" si="1"/>
        <v>Standard price</v>
      </c>
      <c r="I31" s="11" t="str">
        <f t="shared" si="2"/>
        <v>13</v>
      </c>
      <c r="J31" s="11" t="str">
        <f t="shared" si="3"/>
        <v>CA</v>
      </c>
      <c r="K31" s="11" t="str">
        <f t="shared" si="4"/>
        <v>APR</v>
      </c>
    </row>
    <row r="32" spans="1:11" x14ac:dyDescent="0.2">
      <c r="A32" s="10" t="s">
        <v>102</v>
      </c>
      <c r="B32" s="10" t="s">
        <v>88</v>
      </c>
      <c r="C32" s="10" t="s">
        <v>103</v>
      </c>
      <c r="D32" s="10">
        <v>130</v>
      </c>
      <c r="E32" s="10">
        <v>5</v>
      </c>
      <c r="F32" s="10">
        <f t="shared" si="0"/>
        <v>650</v>
      </c>
      <c r="G32" s="10" t="s">
        <v>26</v>
      </c>
      <c r="H32" s="10" t="str">
        <f t="shared" si="1"/>
        <v>Standard price</v>
      </c>
      <c r="I32" s="10" t="str">
        <f t="shared" si="2"/>
        <v>24</v>
      </c>
      <c r="J32" s="10" t="str">
        <f t="shared" si="3"/>
        <v>CA</v>
      </c>
      <c r="K32" s="10" t="str">
        <f t="shared" si="4"/>
        <v>MAY</v>
      </c>
    </row>
    <row r="33" spans="1:11" x14ac:dyDescent="0.2">
      <c r="A33" s="11" t="s">
        <v>104</v>
      </c>
      <c r="B33" s="11" t="s">
        <v>105</v>
      </c>
      <c r="C33" s="11" t="s">
        <v>106</v>
      </c>
      <c r="D33" s="11">
        <v>50</v>
      </c>
      <c r="E33" s="11">
        <v>50</v>
      </c>
      <c r="F33" s="11">
        <f t="shared" si="0"/>
        <v>2500</v>
      </c>
      <c r="G33" s="11" t="s">
        <v>30</v>
      </c>
      <c r="H33" s="11" t="str">
        <f t="shared" si="1"/>
        <v>Standard price</v>
      </c>
      <c r="I33" s="11" t="str">
        <f t="shared" si="2"/>
        <v>02</v>
      </c>
      <c r="J33" s="11" t="str">
        <f t="shared" si="3"/>
        <v>CA</v>
      </c>
      <c r="K33" s="11" t="str">
        <f t="shared" si="4"/>
        <v>DEC</v>
      </c>
    </row>
    <row r="34" spans="1:11" x14ac:dyDescent="0.2">
      <c r="A34" s="10" t="s">
        <v>57</v>
      </c>
      <c r="B34" s="10" t="s">
        <v>24</v>
      </c>
      <c r="C34" s="10" t="s">
        <v>58</v>
      </c>
      <c r="D34" s="10">
        <v>950</v>
      </c>
      <c r="E34" s="10">
        <v>25</v>
      </c>
      <c r="F34" s="10">
        <f t="shared" si="0"/>
        <v>23750</v>
      </c>
      <c r="G34" s="10" t="s">
        <v>26</v>
      </c>
      <c r="H34" s="10" t="str">
        <f t="shared" si="1"/>
        <v>High price</v>
      </c>
      <c r="I34" s="10" t="str">
        <f t="shared" si="2"/>
        <v>17</v>
      </c>
      <c r="J34" s="10" t="str">
        <f t="shared" si="3"/>
        <v>IN</v>
      </c>
      <c r="K34" s="10" t="str">
        <f t="shared" si="4"/>
        <v>JUN</v>
      </c>
    </row>
    <row r="35" spans="1:11" x14ac:dyDescent="0.2">
      <c r="A35" s="11" t="s">
        <v>107</v>
      </c>
      <c r="B35" s="11" t="s">
        <v>108</v>
      </c>
      <c r="C35" s="11" t="s">
        <v>109</v>
      </c>
      <c r="D35" s="11">
        <v>100</v>
      </c>
      <c r="E35" s="11">
        <v>20</v>
      </c>
      <c r="F35" s="11">
        <f t="shared" si="0"/>
        <v>2000</v>
      </c>
      <c r="G35" s="11" t="s">
        <v>70</v>
      </c>
      <c r="H35" s="11" t="str">
        <f t="shared" si="1"/>
        <v>Standard price</v>
      </c>
      <c r="I35" s="11" t="str">
        <f t="shared" si="2"/>
        <v>09</v>
      </c>
      <c r="J35" s="11" t="str">
        <f t="shared" si="3"/>
        <v>FR</v>
      </c>
      <c r="K35" s="11" t="str">
        <f t="shared" si="4"/>
        <v>JUL</v>
      </c>
    </row>
    <row r="37" spans="1:11" x14ac:dyDescent="0.2">
      <c r="C37" s="29" t="s">
        <v>122</v>
      </c>
      <c r="D37">
        <f>SUM(F2:F35)</f>
        <v>289700</v>
      </c>
    </row>
    <row r="38" spans="1:11" ht="25.5" x14ac:dyDescent="0.2">
      <c r="C38" s="30" t="s">
        <v>123</v>
      </c>
      <c r="D38">
        <f>SUM(E2:E35)</f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</vt:lpstr>
      <vt:lpstr>Based on doubts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Abhiram Sajith</cp:lastModifiedBy>
  <dcterms:modified xsi:type="dcterms:W3CDTF">2026-10-02T06:41:37Z</dcterms:modified>
</cp:coreProperties>
</file>